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a5918c85d1f8d/Desktop/Tata Motors/"/>
    </mc:Choice>
  </mc:AlternateContent>
  <xr:revisionPtr revIDLastSave="5" documentId="8_{01BD270D-6163-4568-ADA9-9B81F4BA5528}" xr6:coauthVersionLast="47" xr6:coauthVersionMax="47" xr10:uidLastSave="{FA30443F-4F57-4B1E-8477-BA1A0697A047}"/>
  <bookViews>
    <workbookView xWindow="-108" yWindow="-108" windowWidth="23256" windowHeight="12456" xr2:uid="{F0EF7B71-C060-448D-AA4F-6B7B51B2C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B18" i="1"/>
  <c r="B17" i="1"/>
  <c r="B16" i="1"/>
  <c r="I13" i="1"/>
  <c r="H13" i="1"/>
  <c r="G13" i="1"/>
  <c r="G12" i="1"/>
  <c r="H12" i="1"/>
  <c r="I7" i="1"/>
  <c r="H7" i="1"/>
  <c r="G7" i="1"/>
  <c r="I10" i="1"/>
  <c r="H10" i="1"/>
  <c r="G10" i="1"/>
  <c r="I12" i="1"/>
  <c r="I11" i="1"/>
  <c r="H11" i="1"/>
  <c r="G11" i="1"/>
  <c r="G4" i="1"/>
  <c r="I4" i="1"/>
  <c r="H4" i="1"/>
  <c r="G9" i="1"/>
  <c r="B5" i="1"/>
  <c r="F5" i="1"/>
  <c r="E5" i="1"/>
  <c r="D5" i="1"/>
  <c r="C5" i="1"/>
  <c r="F8" i="1"/>
  <c r="C8" i="1"/>
  <c r="E8" i="1"/>
  <c r="D8" i="1"/>
  <c r="B9" i="1" l="1"/>
  <c r="G2" i="1" s="1"/>
  <c r="H2" i="1" l="1"/>
  <c r="I2" i="1" s="1"/>
</calcChain>
</file>

<file path=xl/sharedStrings.xml><?xml version="1.0" encoding="utf-8"?>
<sst xmlns="http://schemas.openxmlformats.org/spreadsheetml/2006/main" count="16" uniqueCount="16">
  <si>
    <t>2025F</t>
  </si>
  <si>
    <t>2026F</t>
  </si>
  <si>
    <t>2027F</t>
  </si>
  <si>
    <t>Revenue</t>
  </si>
  <si>
    <t>Operating Cost</t>
  </si>
  <si>
    <t>Item</t>
  </si>
  <si>
    <t>EBIT</t>
  </si>
  <si>
    <t>Tax</t>
  </si>
  <si>
    <t>Net Income</t>
  </si>
  <si>
    <t>Revenue Growth</t>
  </si>
  <si>
    <t>Average Growth</t>
  </si>
  <si>
    <t xml:space="preserve"> EBIT Margin </t>
  </si>
  <si>
    <t>Depreciation</t>
  </si>
  <si>
    <t>CapEx</t>
  </si>
  <si>
    <t>Free Cash Flow</t>
  </si>
  <si>
    <t>PV of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</si>
</sst>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6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FA42-A4F7-4110-8A00-1E90F66249ED}">
  <dimension ref="A1:I20"/>
  <sheetViews>
    <sheetView tabSelected="1" workbookViewId="0">
      <selection activeCell="B20" sqref="B20"/>
    </sheetView>
  </sheetViews>
  <sheetFormatPr defaultRowHeight="14.4" x14ac:dyDescent="0.3"/>
  <cols>
    <col min="2" max="5" width="11.88671875" bestFit="1" customWidth="1"/>
    <col min="6" max="6" width="9.33203125" bestFit="1" customWidth="1"/>
    <col min="7" max="7" width="9.44140625" bestFit="1" customWidth="1"/>
  </cols>
  <sheetData>
    <row r="1" spans="1:9" x14ac:dyDescent="0.3">
      <c r="A1" t="s">
        <v>5</v>
      </c>
      <c r="B1">
        <v>2020</v>
      </c>
      <c r="C1">
        <v>2021</v>
      </c>
      <c r="D1">
        <v>2022</v>
      </c>
      <c r="E1">
        <v>2023</v>
      </c>
      <c r="F1">
        <v>2024</v>
      </c>
      <c r="G1" t="s">
        <v>0</v>
      </c>
      <c r="H1" t="s">
        <v>1</v>
      </c>
      <c r="I1" t="s">
        <v>2</v>
      </c>
    </row>
    <row r="2" spans="1:9" x14ac:dyDescent="0.3">
      <c r="A2" t="s">
        <v>3</v>
      </c>
      <c r="B2" s="1">
        <v>261067.97</v>
      </c>
      <c r="C2" s="1">
        <v>249794.75</v>
      </c>
      <c r="D2" s="1">
        <v>278453.62</v>
      </c>
      <c r="E2" s="1">
        <v>345966.67</v>
      </c>
      <c r="F2" s="2">
        <v>434016</v>
      </c>
      <c r="G2">
        <f>F2*(1+$B$9)</f>
        <v>479443.81508908508</v>
      </c>
      <c r="H2">
        <f>G2*(1+$B$9)</f>
        <v>529626.49263431947</v>
      </c>
      <c r="I2">
        <f>H2*(1+$B$9)</f>
        <v>585061.71708151163</v>
      </c>
    </row>
    <row r="3" spans="1:9" x14ac:dyDescent="0.3">
      <c r="A3" t="s">
        <v>4</v>
      </c>
      <c r="B3" s="1">
        <v>237153.67</v>
      </c>
      <c r="C3" s="1">
        <v>214012.84</v>
      </c>
      <c r="D3" s="1">
        <v>244430.9</v>
      </c>
      <c r="E3" s="1">
        <v>303475.46000000002</v>
      </c>
      <c r="F3" s="2">
        <v>365185</v>
      </c>
    </row>
    <row r="4" spans="1:9" x14ac:dyDescent="0.3">
      <c r="A4" t="s">
        <v>6</v>
      </c>
      <c r="B4" s="1">
        <v>23914.3</v>
      </c>
      <c r="C4" s="1">
        <v>35781.9</v>
      </c>
      <c r="D4" s="1">
        <v>36147.230000000003</v>
      </c>
      <c r="E4" s="1">
        <v>42491.51</v>
      </c>
      <c r="F4" s="2">
        <v>68831</v>
      </c>
      <c r="G4" s="5">
        <f xml:space="preserve"> G2 * $G$9</f>
        <v>66459.300795747666</v>
      </c>
      <c r="H4">
        <f xml:space="preserve"> H2 * $G$9</f>
        <v>73415.497865669298</v>
      </c>
      <c r="I4">
        <f xml:space="preserve"> I2 * $G$9</f>
        <v>81099.789831206857</v>
      </c>
    </row>
    <row r="5" spans="1:9" x14ac:dyDescent="0.3">
      <c r="A5" t="s">
        <v>11</v>
      </c>
      <c r="B5" s="3">
        <f>B4/B2</f>
        <v>9.1601815419945998E-2</v>
      </c>
      <c r="C5" s="4">
        <f>C4/C2</f>
        <v>0.14324520431274076</v>
      </c>
      <c r="D5" s="3">
        <f>D4/D2</f>
        <v>0.12981418593157454</v>
      </c>
      <c r="E5" s="3">
        <f>E4/E2</f>
        <v>0.12281966352423487</v>
      </c>
      <c r="F5" s="3">
        <f>F4/F2</f>
        <v>0.15859092752340928</v>
      </c>
    </row>
    <row r="6" spans="1:9" x14ac:dyDescent="0.3">
      <c r="A6" t="s">
        <v>7</v>
      </c>
      <c r="B6" s="2">
        <v>-1102</v>
      </c>
      <c r="C6" s="2">
        <v>-7888</v>
      </c>
      <c r="D6" s="2">
        <v>-1110</v>
      </c>
      <c r="E6" s="2">
        <v>-1740</v>
      </c>
      <c r="F6" s="2">
        <v>-4024</v>
      </c>
    </row>
    <row r="7" spans="1:9" x14ac:dyDescent="0.3">
      <c r="A7" t="s">
        <v>8</v>
      </c>
      <c r="B7" s="2">
        <v>-11975</v>
      </c>
      <c r="C7" s="2">
        <v>-1306</v>
      </c>
      <c r="D7" s="2">
        <v>-1108</v>
      </c>
      <c r="E7" s="2">
        <v>31807</v>
      </c>
      <c r="F7" s="2">
        <v>28149</v>
      </c>
      <c r="G7">
        <f xml:space="preserve"> G4 - G6</f>
        <v>66459.300795747666</v>
      </c>
      <c r="H7">
        <f xml:space="preserve"> H4 - H6</f>
        <v>73415.497865669298</v>
      </c>
      <c r="I7">
        <f xml:space="preserve"> I4 - I6</f>
        <v>81099.789831206857</v>
      </c>
    </row>
    <row r="8" spans="1:9" x14ac:dyDescent="0.3">
      <c r="A8" t="s">
        <v>9</v>
      </c>
      <c r="C8" s="3">
        <f>(C2-B2)/B2</f>
        <v>-4.3181168490336062E-2</v>
      </c>
      <c r="D8" s="3">
        <f>(D2-C2)/C2</f>
        <v>0.11472967306158355</v>
      </c>
      <c r="E8" s="3">
        <f>(E2-D2)/D2</f>
        <v>0.2424570741798939</v>
      </c>
      <c r="F8" s="3">
        <f>(F2-E2)/E2</f>
        <v>0.25450234844876823</v>
      </c>
    </row>
    <row r="9" spans="1:9" x14ac:dyDescent="0.3">
      <c r="A9" t="s">
        <v>10</v>
      </c>
      <c r="B9" s="3">
        <f>AVERAGE(B8:E8)</f>
        <v>0.10466852625038046</v>
      </c>
      <c r="C9" s="3"/>
      <c r="G9" s="4">
        <f>AVERAGE(C5:F5)</f>
        <v>0.13861749532298986</v>
      </c>
    </row>
    <row r="10" spans="1:9" x14ac:dyDescent="0.3">
      <c r="A10" t="s">
        <v>12</v>
      </c>
      <c r="G10">
        <f xml:space="preserve"> G2 * 6%</f>
        <v>28766.628905345104</v>
      </c>
      <c r="H10">
        <f xml:space="preserve"> H2 * 6%</f>
        <v>31777.589558059168</v>
      </c>
      <c r="I10">
        <f xml:space="preserve"> I2 * 6%</f>
        <v>35103.703024890696</v>
      </c>
    </row>
    <row r="11" spans="1:9" x14ac:dyDescent="0.3">
      <c r="A11" t="s">
        <v>13</v>
      </c>
      <c r="G11">
        <f xml:space="preserve"> G2 * 8%</f>
        <v>38355.505207126807</v>
      </c>
      <c r="H11">
        <f xml:space="preserve"> H2 * 8%</f>
        <v>42370.119410745559</v>
      </c>
      <c r="I11">
        <f xml:space="preserve"> I2 * 8%</f>
        <v>46804.937366520928</v>
      </c>
    </row>
    <row r="12" spans="1:9" x14ac:dyDescent="0.3">
      <c r="A12" t="s">
        <v>14</v>
      </c>
      <c r="G12">
        <f xml:space="preserve"> G7 + G10 - G11</f>
        <v>56870.424493965962</v>
      </c>
      <c r="H12" s="6">
        <f xml:space="preserve"> H7 + H10 - H11</f>
        <v>62822.968012982899</v>
      </c>
      <c r="I12">
        <f xml:space="preserve"> I7 + I8 - I9</f>
        <v>81099.789831206857</v>
      </c>
    </row>
    <row r="13" spans="1:9" x14ac:dyDescent="0.3">
      <c r="A13" t="s">
        <v>15</v>
      </c>
      <c r="G13">
        <f>G12/(1+0.1)^1</f>
        <v>51700.385903605413</v>
      </c>
      <c r="H13">
        <f>H12/(1+0.1)^2</f>
        <v>51919.808275192474</v>
      </c>
      <c r="I13">
        <f>I12/(1+0.1)^3</f>
        <v>60931.47245019296</v>
      </c>
    </row>
    <row r="16" spans="1:9" x14ac:dyDescent="0.3">
      <c r="B16">
        <f>I12*(1+0.04)/(0.1-0.04)</f>
        <v>1405729.6904075856</v>
      </c>
    </row>
    <row r="17" spans="2:2" x14ac:dyDescent="0.3">
      <c r="B17">
        <f>B16/(1+0.1)^3</f>
        <v>1056145.5224700114</v>
      </c>
    </row>
    <row r="18" spans="2:2" x14ac:dyDescent="0.3">
      <c r="B18">
        <f>G13+H13+I13+B17</f>
        <v>1220697.1890990022</v>
      </c>
    </row>
    <row r="19" spans="2:2" x14ac:dyDescent="0.3">
      <c r="B19">
        <v>3700</v>
      </c>
    </row>
    <row r="20" spans="2:2" x14ac:dyDescent="0.3">
      <c r="B20">
        <f>B18/B19</f>
        <v>329.9181592159465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Bagul</dc:creator>
  <cp:lastModifiedBy>Yash Bagul</cp:lastModifiedBy>
  <dcterms:created xsi:type="dcterms:W3CDTF">2026-02-17T10:23:08Z</dcterms:created>
  <dcterms:modified xsi:type="dcterms:W3CDTF">2026-02-17T13:05:22Z</dcterms:modified>
</cp:coreProperties>
</file>